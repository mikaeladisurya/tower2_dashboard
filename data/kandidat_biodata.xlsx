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LN\3 HC Analytics\tower2_dashboard\data\"/>
    </mc:Choice>
  </mc:AlternateContent>
  <xr:revisionPtr revIDLastSave="0" documentId="13_ncr:1_{3807548D-BE9E-4AC4-989F-017F85041B4D}" xr6:coauthVersionLast="47" xr6:coauthVersionMax="47" xr10:uidLastSave="{00000000-0000-0000-0000-000000000000}"/>
  <bookViews>
    <workbookView xWindow="-108" yWindow="-108" windowWidth="34776" windowHeight="21096" xr2:uid="{3CC95793-D82A-4152-B168-6963ADBEDA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0" i="1" l="1"/>
  <c r="H6" i="1"/>
  <c r="H3" i="1"/>
</calcChain>
</file>

<file path=xl/sharedStrings.xml><?xml version="1.0" encoding="utf-8"?>
<sst xmlns="http://schemas.openxmlformats.org/spreadsheetml/2006/main" count="182" uniqueCount="123">
  <si>
    <t>gender</t>
  </si>
  <si>
    <t>dob</t>
  </si>
  <si>
    <t>C000001</t>
  </si>
  <si>
    <t>L</t>
  </si>
  <si>
    <t>C000002</t>
  </si>
  <si>
    <t>C000003</t>
  </si>
  <si>
    <t>P</t>
  </si>
  <si>
    <t>C000004</t>
  </si>
  <si>
    <t>C000005</t>
  </si>
  <si>
    <t>AGAMA</t>
  </si>
  <si>
    <t>Islam</t>
  </si>
  <si>
    <t>Kristen</t>
  </si>
  <si>
    <t>Manah Pranowo</t>
  </si>
  <si>
    <t>Kezia Puspasari</t>
  </si>
  <si>
    <t>Talia Utami</t>
  </si>
  <si>
    <t>Dina Safitri</t>
  </si>
  <si>
    <t>Ophelia Aryani</t>
  </si>
  <si>
    <t>Cakrabuana Najmudin</t>
  </si>
  <si>
    <t>Maida Usamah</t>
  </si>
  <si>
    <t>Garang Dongoran</t>
  </si>
  <si>
    <t>Edi Hutapea</t>
  </si>
  <si>
    <t>Umay Utama</t>
  </si>
  <si>
    <t>Gara Haryanto</t>
  </si>
  <si>
    <t>Juli Hartati</t>
  </si>
  <si>
    <t>Argono Adriansyah</t>
  </si>
  <si>
    <t>Gandi Hakim</t>
  </si>
  <si>
    <t>C000006</t>
  </si>
  <si>
    <t>C000007</t>
  </si>
  <si>
    <t>C000008</t>
  </si>
  <si>
    <t>C000009</t>
  </si>
  <si>
    <t>C000010</t>
  </si>
  <si>
    <t>C000011</t>
  </si>
  <si>
    <t>C000012</t>
  </si>
  <si>
    <t>C000013</t>
  </si>
  <si>
    <t>C000014</t>
  </si>
  <si>
    <t>STATUS</t>
  </si>
  <si>
    <t>EMAIL</t>
  </si>
  <si>
    <t>Belum Kawin</t>
  </si>
  <si>
    <t>+62 (053) 678 9673</t>
  </si>
  <si>
    <t>manahprano394@pln.co.id</t>
  </si>
  <si>
    <t>keziapuspa991@yahoo.com</t>
  </si>
  <si>
    <t>+62 (048) 254-1852</t>
  </si>
  <si>
    <t>taliautami23@yahoo.com</t>
  </si>
  <si>
    <t>(0223) 462-9784</t>
  </si>
  <si>
    <t>dinasafitr356@yahoo.com</t>
  </si>
  <si>
    <t>Kawin</t>
  </si>
  <si>
    <t>opheliaary428@outlook.com</t>
  </si>
  <si>
    <t>+62 (87) 689-8846</t>
  </si>
  <si>
    <t>cakrabuana37@gmail.com</t>
  </si>
  <si>
    <t>maidausama525@outlook.com</t>
  </si>
  <si>
    <t>085 639 0095</t>
  </si>
  <si>
    <t>garangdong562@gmail.com</t>
  </si>
  <si>
    <t>edihutapea932@yahoo.com</t>
  </si>
  <si>
    <t>(0418) 233-3606</t>
  </si>
  <si>
    <t>umayutama702@gmail.com</t>
  </si>
  <si>
    <t>+62 (0516) 699-6208</t>
  </si>
  <si>
    <t>garaharyan541@pln.co.id</t>
  </si>
  <si>
    <t>(0538) 545 0947</t>
  </si>
  <si>
    <t>julihartat113@gmail.com</t>
  </si>
  <si>
    <t>(029) 457-5312</t>
  </si>
  <si>
    <t>argonoadri87@yahoo.com</t>
  </si>
  <si>
    <t>+62 (94) 068 1048</t>
  </si>
  <si>
    <t>gandihakim672@pln.co.id</t>
  </si>
  <si>
    <t>KODE POS</t>
  </si>
  <si>
    <t>Cilegon</t>
  </si>
  <si>
    <t>Gg. M.T Haryono No. 81</t>
  </si>
  <si>
    <t>Pekanbaru</t>
  </si>
  <si>
    <t>Jalan Rungkut Industri No. 822</t>
  </si>
  <si>
    <t>Solok</t>
  </si>
  <si>
    <t>Gg. HOS. Cokroaminoto No. 454</t>
  </si>
  <si>
    <t>Prabumulih</t>
  </si>
  <si>
    <t>Gang Cikutra Timur No. 7</t>
  </si>
  <si>
    <t>Pematangsiantar</t>
  </si>
  <si>
    <t>Jl. Kiaracondong No. 56</t>
  </si>
  <si>
    <t>Sabang</t>
  </si>
  <si>
    <t>Gg. Sentot Alibasa No. 4</t>
  </si>
  <si>
    <t>Surabaya</t>
  </si>
  <si>
    <t>Jalan Kebonjati No. 4</t>
  </si>
  <si>
    <t>Subulussalam</t>
  </si>
  <si>
    <t>Gang Stasiun Wonokromo No. 0</t>
  </si>
  <si>
    <t>Batu</t>
  </si>
  <si>
    <t>Gg. Erlangga No. 0</t>
  </si>
  <si>
    <t>Lubuklinggau</t>
  </si>
  <si>
    <t>Jl. Ciwastra No. 2</t>
  </si>
  <si>
    <t>Sibolga</t>
  </si>
  <si>
    <t>Jalan Jayawijaya No. 295</t>
  </si>
  <si>
    <t>Malang</t>
  </si>
  <si>
    <t>Jalan Pelajar Pejuang No. 4</t>
  </si>
  <si>
    <t>Banjarbaru</t>
  </si>
  <si>
    <t>Jalan Pacuan Kuda No. 55</t>
  </si>
  <si>
    <t>Tasikmalaya</t>
  </si>
  <si>
    <t>Jalan Pasteur No. 1</t>
  </si>
  <si>
    <t>XXL</t>
  </si>
  <si>
    <t>S</t>
  </si>
  <si>
    <t>M</t>
  </si>
  <si>
    <t>XXXL</t>
  </si>
  <si>
    <t>XL</t>
  </si>
  <si>
    <t>id_kandidat</t>
  </si>
  <si>
    <t>nama_kandidat</t>
  </si>
  <si>
    <t>NO_KTP</t>
  </si>
  <si>
    <t>NO_PONSEL</t>
  </si>
  <si>
    <t>TEMPAT_LAHIR</t>
  </si>
  <si>
    <t>KOTA_KTP</t>
  </si>
  <si>
    <t>ALAMAT_KTP</t>
  </si>
  <si>
    <t>UK_BAJU</t>
  </si>
  <si>
    <t>UK_SEPATU</t>
  </si>
  <si>
    <t>UK_CELANA</t>
  </si>
  <si>
    <t>TAHUN_LULUS_SMA</t>
  </si>
  <si>
    <t>SMA Negeri 2 Depok</t>
  </si>
  <si>
    <t>SMA Negeri 3 Gorontalo</t>
  </si>
  <si>
    <t>SMA Negeri 5 Tangerang</t>
  </si>
  <si>
    <t>SMA Negeri 2 Payakumbuh</t>
  </si>
  <si>
    <t>SMA Negeri 1 Tidore Kepulauan</t>
  </si>
  <si>
    <t>SMA Negeri 3 Pontianak</t>
  </si>
  <si>
    <t>SMA Negeri 2 Sabang</t>
  </si>
  <si>
    <t>SMA Negeri 1 Kotamobagu</t>
  </si>
  <si>
    <t>SMA Katolik Giovanni Kupang</t>
  </si>
  <si>
    <t>SMA Negeri 2 Probolinggo</t>
  </si>
  <si>
    <t>SMA Negeri 1 Tanjungpinang</t>
  </si>
  <si>
    <t>SMA Negeri 5 Purwokerto</t>
  </si>
  <si>
    <t>SMA Negeri 4 Ternate</t>
  </si>
  <si>
    <t>SMA Negeri 7 Banjarmasin</t>
  </si>
  <si>
    <t>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</si>
</sst>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C44A6-3B9C-4499-A4D8-BC044143C0B1}">
  <dimension ref="A1:R15"/>
  <sheetViews>
    <sheetView tabSelected="1" workbookViewId="0">
      <selection activeCell="R14" sqref="R14"/>
    </sheetView>
  </sheetViews>
  <sheetFormatPr defaultRowHeight="14.4" x14ac:dyDescent="0.3"/>
  <cols>
    <col min="1" max="1" width="11.21875" bestFit="1" customWidth="1"/>
    <col min="2" max="2" width="19.109375" bestFit="1" customWidth="1"/>
    <col min="3" max="3" width="6.5546875" bestFit="1" customWidth="1"/>
    <col min="4" max="4" width="9.33203125" bestFit="1" customWidth="1"/>
    <col min="5" max="5" width="7.109375" bestFit="1" customWidth="1"/>
    <col min="6" max="6" width="11.21875" bestFit="1" customWidth="1"/>
    <col min="7" max="7" width="12" bestFit="1" customWidth="1"/>
    <col min="8" max="8" width="17.6640625" bestFit="1" customWidth="1"/>
    <col min="9" max="9" width="26.5546875" bestFit="1" customWidth="1"/>
    <col min="10" max="11" width="14.77734375" bestFit="1" customWidth="1"/>
    <col min="12" max="12" width="27" bestFit="1" customWidth="1"/>
    <col min="13" max="13" width="9.33203125" bestFit="1" customWidth="1"/>
    <col min="14" max="14" width="12.44140625" bestFit="1" customWidth="1"/>
    <col min="15" max="15" width="14.77734375" bestFit="1" customWidth="1"/>
    <col min="16" max="16" width="15.109375" bestFit="1" customWidth="1"/>
    <col min="18" max="18" width="26.109375" bestFit="1" customWidth="1"/>
  </cols>
  <sheetData>
    <row r="1" spans="1:18" x14ac:dyDescent="0.3">
      <c r="A1" t="s">
        <v>97</v>
      </c>
      <c r="B1" t="s">
        <v>98</v>
      </c>
      <c r="C1" t="s">
        <v>0</v>
      </c>
      <c r="D1" t="s">
        <v>1</v>
      </c>
      <c r="E1" t="s">
        <v>9</v>
      </c>
      <c r="F1" t="s">
        <v>35</v>
      </c>
      <c r="G1" t="s">
        <v>99</v>
      </c>
      <c r="H1" t="s">
        <v>100</v>
      </c>
      <c r="I1" t="s">
        <v>36</v>
      </c>
      <c r="J1" t="s">
        <v>101</v>
      </c>
      <c r="K1" t="s">
        <v>102</v>
      </c>
      <c r="L1" t="s">
        <v>103</v>
      </c>
      <c r="M1" t="s">
        <v>63</v>
      </c>
      <c r="N1" t="s">
        <v>104</v>
      </c>
      <c r="O1" t="s">
        <v>105</v>
      </c>
      <c r="P1" t="s">
        <v>106</v>
      </c>
      <c r="Q1" t="s">
        <v>107</v>
      </c>
      <c r="R1" t="s">
        <v>122</v>
      </c>
    </row>
    <row r="2" spans="1:18" x14ac:dyDescent="0.3">
      <c r="A2" t="s">
        <v>2</v>
      </c>
      <c r="B2" t="s">
        <v>12</v>
      </c>
      <c r="C2" t="s">
        <v>3</v>
      </c>
      <c r="D2" s="1">
        <v>36962</v>
      </c>
      <c r="E2" t="s">
        <v>10</v>
      </c>
      <c r="F2" t="s">
        <v>37</v>
      </c>
      <c r="G2">
        <v>2968803239219000</v>
      </c>
      <c r="H2" t="s">
        <v>38</v>
      </c>
      <c r="I2" t="s">
        <v>39</v>
      </c>
      <c r="J2" t="s">
        <v>64</v>
      </c>
      <c r="K2" t="s">
        <v>64</v>
      </c>
      <c r="L2" t="s">
        <v>65</v>
      </c>
      <c r="M2">
        <v>24373</v>
      </c>
      <c r="N2" t="s">
        <v>92</v>
      </c>
      <c r="O2">
        <v>44</v>
      </c>
      <c r="P2">
        <v>40</v>
      </c>
      <c r="Q2">
        <v>2019</v>
      </c>
      <c r="R2" t="s">
        <v>108</v>
      </c>
    </row>
    <row r="3" spans="1:18" x14ac:dyDescent="0.3">
      <c r="A3" t="s">
        <v>4</v>
      </c>
      <c r="B3" t="s">
        <v>13</v>
      </c>
      <c r="C3" t="s">
        <v>3</v>
      </c>
      <c r="D3" s="1">
        <v>36838</v>
      </c>
      <c r="E3" t="s">
        <v>10</v>
      </c>
      <c r="F3" t="s">
        <v>37</v>
      </c>
      <c r="G3">
        <v>7750770004890970</v>
      </c>
      <c r="H3">
        <f>62-41-594-4915</f>
        <v>-5488</v>
      </c>
      <c r="I3" t="s">
        <v>40</v>
      </c>
      <c r="J3" t="s">
        <v>66</v>
      </c>
      <c r="K3" t="s">
        <v>66</v>
      </c>
      <c r="L3" t="s">
        <v>67</v>
      </c>
      <c r="M3">
        <v>25606</v>
      </c>
      <c r="N3" t="s">
        <v>93</v>
      </c>
      <c r="O3">
        <v>39</v>
      </c>
      <c r="P3">
        <v>42</v>
      </c>
      <c r="Q3">
        <v>2021</v>
      </c>
      <c r="R3" t="s">
        <v>109</v>
      </c>
    </row>
    <row r="4" spans="1:18" x14ac:dyDescent="0.3">
      <c r="A4" t="s">
        <v>5</v>
      </c>
      <c r="B4" t="s">
        <v>14</v>
      </c>
      <c r="C4" t="s">
        <v>6</v>
      </c>
      <c r="D4" s="1">
        <v>37270</v>
      </c>
      <c r="E4" t="s">
        <v>10</v>
      </c>
      <c r="F4" t="s">
        <v>37</v>
      </c>
      <c r="G4">
        <v>3347602522116880</v>
      </c>
      <c r="H4" t="s">
        <v>41</v>
      </c>
      <c r="I4" t="s">
        <v>42</v>
      </c>
      <c r="J4" t="s">
        <v>68</v>
      </c>
      <c r="K4" t="s">
        <v>68</v>
      </c>
      <c r="L4" t="s">
        <v>69</v>
      </c>
      <c r="M4">
        <v>42691</v>
      </c>
      <c r="N4" t="s">
        <v>94</v>
      </c>
      <c r="O4">
        <v>36</v>
      </c>
      <c r="P4">
        <v>32</v>
      </c>
      <c r="Q4">
        <v>2020</v>
      </c>
      <c r="R4" t="s">
        <v>110</v>
      </c>
    </row>
    <row r="5" spans="1:18" x14ac:dyDescent="0.3">
      <c r="A5" t="s">
        <v>7</v>
      </c>
      <c r="B5" t="s">
        <v>15</v>
      </c>
      <c r="C5" t="s">
        <v>3</v>
      </c>
      <c r="D5" s="1">
        <v>36405</v>
      </c>
      <c r="E5" t="s">
        <v>10</v>
      </c>
      <c r="F5" t="s">
        <v>37</v>
      </c>
      <c r="G5">
        <v>7019315663755530</v>
      </c>
      <c r="H5" t="s">
        <v>43</v>
      </c>
      <c r="I5" t="s">
        <v>44</v>
      </c>
      <c r="J5" t="s">
        <v>70</v>
      </c>
      <c r="K5" t="s">
        <v>70</v>
      </c>
      <c r="L5" t="s">
        <v>71</v>
      </c>
      <c r="M5">
        <v>81615</v>
      </c>
      <c r="N5" t="s">
        <v>95</v>
      </c>
      <c r="O5">
        <v>43</v>
      </c>
      <c r="P5">
        <v>37</v>
      </c>
      <c r="Q5">
        <v>2020</v>
      </c>
      <c r="R5" t="s">
        <v>111</v>
      </c>
    </row>
    <row r="6" spans="1:18" x14ac:dyDescent="0.3">
      <c r="A6" t="s">
        <v>8</v>
      </c>
      <c r="B6" t="s">
        <v>16</v>
      </c>
      <c r="C6" t="s">
        <v>6</v>
      </c>
      <c r="D6" s="1">
        <v>37093</v>
      </c>
      <c r="E6" t="s">
        <v>10</v>
      </c>
      <c r="F6" t="s">
        <v>45</v>
      </c>
      <c r="G6">
        <v>8236118133006630</v>
      </c>
      <c r="H6">
        <f>62-59-850-8726</f>
        <v>-9573</v>
      </c>
      <c r="I6" t="s">
        <v>46</v>
      </c>
      <c r="J6" t="s">
        <v>72</v>
      </c>
      <c r="K6" t="s">
        <v>72</v>
      </c>
      <c r="L6" t="s">
        <v>73</v>
      </c>
      <c r="M6">
        <v>24867</v>
      </c>
      <c r="N6" t="s">
        <v>94</v>
      </c>
      <c r="O6">
        <v>43</v>
      </c>
      <c r="P6">
        <v>29</v>
      </c>
      <c r="Q6">
        <v>2019</v>
      </c>
      <c r="R6" t="s">
        <v>112</v>
      </c>
    </row>
    <row r="7" spans="1:18" x14ac:dyDescent="0.3">
      <c r="A7" t="s">
        <v>26</v>
      </c>
      <c r="B7" t="s">
        <v>17</v>
      </c>
      <c r="C7" t="s">
        <v>3</v>
      </c>
      <c r="D7" s="1">
        <v>37094</v>
      </c>
      <c r="E7" t="s">
        <v>10</v>
      </c>
      <c r="F7" t="s">
        <v>37</v>
      </c>
      <c r="G7">
        <v>4579362676092950</v>
      </c>
      <c r="H7" t="s">
        <v>47</v>
      </c>
      <c r="I7" t="s">
        <v>48</v>
      </c>
      <c r="J7" t="s">
        <v>74</v>
      </c>
      <c r="K7" t="s">
        <v>74</v>
      </c>
      <c r="L7" t="s">
        <v>75</v>
      </c>
      <c r="M7">
        <v>25481</v>
      </c>
      <c r="N7" t="s">
        <v>96</v>
      </c>
      <c r="O7">
        <v>44</v>
      </c>
      <c r="P7">
        <v>31</v>
      </c>
      <c r="Q7">
        <v>2018</v>
      </c>
      <c r="R7" t="s">
        <v>113</v>
      </c>
    </row>
    <row r="8" spans="1:18" x14ac:dyDescent="0.3">
      <c r="A8" t="s">
        <v>27</v>
      </c>
      <c r="B8" t="s">
        <v>18</v>
      </c>
      <c r="C8" t="s">
        <v>6</v>
      </c>
      <c r="D8" s="1">
        <v>37095</v>
      </c>
      <c r="E8" t="s">
        <v>10</v>
      </c>
      <c r="F8" t="s">
        <v>37</v>
      </c>
      <c r="G8">
        <v>5289161384088700</v>
      </c>
      <c r="H8">
        <v>880443588</v>
      </c>
      <c r="I8" t="s">
        <v>49</v>
      </c>
      <c r="J8" t="s">
        <v>76</v>
      </c>
      <c r="K8" t="s">
        <v>76</v>
      </c>
      <c r="L8" t="s">
        <v>77</v>
      </c>
      <c r="M8">
        <v>68790</v>
      </c>
      <c r="N8" t="s">
        <v>93</v>
      </c>
      <c r="O8">
        <v>41</v>
      </c>
      <c r="P8">
        <v>41</v>
      </c>
      <c r="Q8">
        <v>2023</v>
      </c>
      <c r="R8" t="s">
        <v>114</v>
      </c>
    </row>
    <row r="9" spans="1:18" x14ac:dyDescent="0.3">
      <c r="A9" t="s">
        <v>28</v>
      </c>
      <c r="B9" t="s">
        <v>19</v>
      </c>
      <c r="C9" t="s">
        <v>3</v>
      </c>
      <c r="D9" s="1">
        <v>37096</v>
      </c>
      <c r="E9" t="s">
        <v>10</v>
      </c>
      <c r="F9" t="s">
        <v>37</v>
      </c>
      <c r="G9">
        <v>1771192689324070</v>
      </c>
      <c r="H9" t="s">
        <v>50</v>
      </c>
      <c r="I9" t="s">
        <v>51</v>
      </c>
      <c r="J9" t="s">
        <v>78</v>
      </c>
      <c r="K9" t="s">
        <v>78</v>
      </c>
      <c r="L9" t="s">
        <v>79</v>
      </c>
      <c r="M9">
        <v>99495</v>
      </c>
      <c r="N9" t="s">
        <v>94</v>
      </c>
      <c r="O9">
        <v>45</v>
      </c>
      <c r="P9">
        <v>37</v>
      </c>
      <c r="Q9">
        <v>2016</v>
      </c>
      <c r="R9" t="s">
        <v>115</v>
      </c>
    </row>
    <row r="10" spans="1:18" x14ac:dyDescent="0.3">
      <c r="A10" t="s">
        <v>29</v>
      </c>
      <c r="B10" t="s">
        <v>20</v>
      </c>
      <c r="C10" t="s">
        <v>3</v>
      </c>
      <c r="D10" s="1">
        <v>37097</v>
      </c>
      <c r="E10" t="s">
        <v>11</v>
      </c>
      <c r="F10" t="s">
        <v>37</v>
      </c>
      <c r="G10">
        <v>2677358656896900</v>
      </c>
      <c r="H10">
        <f>62-95-502-5566</f>
        <v>-6101</v>
      </c>
      <c r="I10" t="s">
        <v>52</v>
      </c>
      <c r="J10" t="s">
        <v>80</v>
      </c>
      <c r="K10" t="s">
        <v>80</v>
      </c>
      <c r="L10" t="s">
        <v>81</v>
      </c>
      <c r="M10">
        <v>27247</v>
      </c>
      <c r="N10" t="s">
        <v>95</v>
      </c>
      <c r="O10">
        <v>37</v>
      </c>
      <c r="P10">
        <v>30</v>
      </c>
      <c r="Q10">
        <v>2023</v>
      </c>
      <c r="R10" t="s">
        <v>116</v>
      </c>
    </row>
    <row r="11" spans="1:18" x14ac:dyDescent="0.3">
      <c r="A11" t="s">
        <v>30</v>
      </c>
      <c r="B11" t="s">
        <v>21</v>
      </c>
      <c r="C11" t="s">
        <v>3</v>
      </c>
      <c r="D11" s="1">
        <v>37098</v>
      </c>
      <c r="E11" t="s">
        <v>10</v>
      </c>
      <c r="F11" t="s">
        <v>45</v>
      </c>
      <c r="G11">
        <v>2964529678585800</v>
      </c>
      <c r="H11" t="s">
        <v>53</v>
      </c>
      <c r="I11" t="s">
        <v>54</v>
      </c>
      <c r="J11" t="s">
        <v>82</v>
      </c>
      <c r="K11" t="s">
        <v>82</v>
      </c>
      <c r="L11" t="s">
        <v>83</v>
      </c>
      <c r="M11">
        <v>15387</v>
      </c>
      <c r="N11" t="s">
        <v>92</v>
      </c>
      <c r="O11">
        <v>39</v>
      </c>
      <c r="P11">
        <v>34</v>
      </c>
      <c r="Q11">
        <v>2017</v>
      </c>
      <c r="R11" t="s">
        <v>117</v>
      </c>
    </row>
    <row r="12" spans="1:18" x14ac:dyDescent="0.3">
      <c r="A12" t="s">
        <v>31</v>
      </c>
      <c r="B12" t="s">
        <v>22</v>
      </c>
      <c r="C12" t="s">
        <v>3</v>
      </c>
      <c r="D12" s="1">
        <v>37099</v>
      </c>
      <c r="E12" t="s">
        <v>10</v>
      </c>
      <c r="F12" t="s">
        <v>37</v>
      </c>
      <c r="G12">
        <v>3078578352604150</v>
      </c>
      <c r="H12" t="s">
        <v>55</v>
      </c>
      <c r="I12" t="s">
        <v>56</v>
      </c>
      <c r="J12" t="s">
        <v>84</v>
      </c>
      <c r="K12" t="s">
        <v>84</v>
      </c>
      <c r="L12" t="s">
        <v>85</v>
      </c>
      <c r="M12">
        <v>32326</v>
      </c>
      <c r="N12" t="s">
        <v>96</v>
      </c>
      <c r="O12">
        <v>38</v>
      </c>
      <c r="P12">
        <v>39</v>
      </c>
      <c r="Q12">
        <v>2022</v>
      </c>
      <c r="R12" t="s">
        <v>118</v>
      </c>
    </row>
    <row r="13" spans="1:18" x14ac:dyDescent="0.3">
      <c r="A13" t="s">
        <v>32</v>
      </c>
      <c r="B13" t="s">
        <v>23</v>
      </c>
      <c r="C13" t="s">
        <v>6</v>
      </c>
      <c r="D13" s="1">
        <v>37100</v>
      </c>
      <c r="E13" t="s">
        <v>10</v>
      </c>
      <c r="F13" t="s">
        <v>37</v>
      </c>
      <c r="G13">
        <v>9924139491041190</v>
      </c>
      <c r="H13" t="s">
        <v>57</v>
      </c>
      <c r="I13" t="s">
        <v>58</v>
      </c>
      <c r="J13" t="s">
        <v>86</v>
      </c>
      <c r="K13" t="s">
        <v>86</v>
      </c>
      <c r="L13" t="s">
        <v>87</v>
      </c>
      <c r="M13">
        <v>87175</v>
      </c>
      <c r="N13" t="s">
        <v>95</v>
      </c>
      <c r="O13">
        <v>40</v>
      </c>
      <c r="P13">
        <v>37</v>
      </c>
      <c r="Q13">
        <v>2021</v>
      </c>
      <c r="R13" t="s">
        <v>119</v>
      </c>
    </row>
    <row r="14" spans="1:18" x14ac:dyDescent="0.3">
      <c r="A14" t="s">
        <v>33</v>
      </c>
      <c r="B14" t="s">
        <v>24</v>
      </c>
      <c r="C14" t="s">
        <v>3</v>
      </c>
      <c r="D14" s="1">
        <v>37101</v>
      </c>
      <c r="E14" t="s">
        <v>10</v>
      </c>
      <c r="F14" t="s">
        <v>37</v>
      </c>
      <c r="G14">
        <v>1622952519428880</v>
      </c>
      <c r="H14" t="s">
        <v>59</v>
      </c>
      <c r="I14" t="s">
        <v>60</v>
      </c>
      <c r="J14" t="s">
        <v>88</v>
      </c>
      <c r="K14" t="s">
        <v>88</v>
      </c>
      <c r="L14" t="s">
        <v>89</v>
      </c>
      <c r="M14">
        <v>12140</v>
      </c>
      <c r="N14" t="s">
        <v>93</v>
      </c>
      <c r="O14">
        <v>40</v>
      </c>
      <c r="P14">
        <v>30</v>
      </c>
      <c r="Q14">
        <v>2019</v>
      </c>
      <c r="R14" t="s">
        <v>120</v>
      </c>
    </row>
    <row r="15" spans="1:18" x14ac:dyDescent="0.3">
      <c r="A15" t="s">
        <v>34</v>
      </c>
      <c r="B15" t="s">
        <v>25</v>
      </c>
      <c r="C15" t="s">
        <v>3</v>
      </c>
      <c r="D15" s="1">
        <v>37102</v>
      </c>
      <c r="E15" t="s">
        <v>10</v>
      </c>
      <c r="F15" t="s">
        <v>37</v>
      </c>
      <c r="G15">
        <v>9678480355640030</v>
      </c>
      <c r="H15" t="s">
        <v>61</v>
      </c>
      <c r="I15" t="s">
        <v>62</v>
      </c>
      <c r="J15" t="s">
        <v>90</v>
      </c>
      <c r="K15" t="s">
        <v>90</v>
      </c>
      <c r="L15" t="s">
        <v>91</v>
      </c>
      <c r="M15">
        <v>26855</v>
      </c>
      <c r="N15" t="s">
        <v>94</v>
      </c>
      <c r="O15">
        <v>39</v>
      </c>
      <c r="P15">
        <v>27</v>
      </c>
      <c r="Q15">
        <v>2016</v>
      </c>
      <c r="R15" t="s">
        <v>121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64c933b-ed4c-48cc-8669-ffb789d44de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F18EAEC5740C4BB32DA4E14B870E07" ma:contentTypeVersion="11" ma:contentTypeDescription="Create a new document." ma:contentTypeScope="" ma:versionID="7e2513ef959c96792b34ce79f653b9d8">
  <xsd:schema xmlns:xsd="http://www.w3.org/2001/XMLSchema" xmlns:xs="http://www.w3.org/2001/XMLSchema" xmlns:p="http://schemas.microsoft.com/office/2006/metadata/properties" xmlns:ns3="964c933b-ed4c-48cc-8669-ffb789d44dee" targetNamespace="http://schemas.microsoft.com/office/2006/metadata/properties" ma:root="true" ma:fieldsID="c8422fd17a6a82e2d5297f793db8de78" ns3:_="">
    <xsd:import namespace="964c933b-ed4c-48cc-8669-ffb789d44de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4c933b-ed4c-48cc-8669-ffb789d44de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58A389-6029-4CDB-A45D-720B49FAA251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terms/"/>
    <ds:schemaRef ds:uri="964c933b-ed4c-48cc-8669-ffb789d44dee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AC958F5-5BAB-4F2E-991E-F5AF7434BD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4c933b-ed4c-48cc-8669-ffb789d44d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C70193-D663-4978-BD36-7625BE5865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</dc:creator>
  <cp:lastModifiedBy>MiKael</cp:lastModifiedBy>
  <dcterms:created xsi:type="dcterms:W3CDTF">2026-07-16T14:42:56Z</dcterms:created>
  <dcterms:modified xsi:type="dcterms:W3CDTF">2026-07-16T21:18:45Z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2026-07-16T14:49:05Z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47cf3301-21ba-478c-812e-446724a1047d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0x010100C6F18EAEC5740C4BB32DA4E14B870E07</vt:lpwstr>
  </property>
</Properties>
</file>